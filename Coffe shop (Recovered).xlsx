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مشاريع\excel\coffe shop\"/>
    </mc:Choice>
  </mc:AlternateContent>
  <xr:revisionPtr revIDLastSave="0" documentId="13_ncr:1_{2CBDAC21-74C1-4917-920C-5FA1B969E4E6}" xr6:coauthVersionLast="47" xr6:coauthVersionMax="47" xr10:uidLastSave="{00000000-0000-0000-0000-000000000000}"/>
  <bookViews>
    <workbookView xWindow="-108" yWindow="-108" windowWidth="23256" windowHeight="12456" activeTab="1" xr2:uid="{7F43AC3A-374D-4D4C-BE8F-9D1C761DCF70}"/>
  </bookViews>
  <sheets>
    <sheet name="Analysis" sheetId="1" r:id="rId1"/>
    <sheet name="Dashboard" sheetId="2" r:id="rId2"/>
  </sheets>
  <definedNames>
    <definedName name="_xlchart.v1.0" hidden="1">Analysis!$I$3:$I$9</definedName>
    <definedName name="_xlchart.v1.1" hidden="1">Analysis!$J$3:$J$9</definedName>
    <definedName name="_xlchart.v1.2" hidden="1">Analysis!$I$3:$I$9</definedName>
    <definedName name="_xlchart.v1.3" hidden="1">Analysis!$J$3:$J$9</definedName>
    <definedName name="Slicer_date_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60a0c391-290b-4cb4-bdd8-5c14efb8cc36" name="index" connection="Query - index"/>
        </x15:modelTables>
        <x15:extLst>
          <ext xmlns:x16="http://schemas.microsoft.com/office/spreadsheetml/2014/11/main" uri="{9835A34E-60A6-4A7C-AAB8-D5F71C897F49}">
            <x16:modelTimeGroupings>
              <x16:modelTimeGrouping tableName="index"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1631C2-566C-434B-AE39-69E1DBB3BDEA}" name="Query - index" description="Connection to the 'index' query in the workbook." type="100" refreshedVersion="8" minRefreshableVersion="5">
    <extLst>
      <ext xmlns:x15="http://schemas.microsoft.com/office/spreadsheetml/2010/11/main" uri="{DE250136-89BD-433C-8126-D09CA5730AF9}">
        <x15:connection id="3c545eb7-cdc4-4c0c-b840-8165d5b3e176"/>
      </ext>
    </extLst>
  </connection>
  <connection id="2" xr16:uid="{A7670D58-245A-4B7C-946C-C6C5234252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<sst xmlns="http://schemas.openxmlformats.org/spreadsheetml/2006/main" count="52" uniqueCount="39">
  <si>
    <t>Orders</t>
  </si>
  <si>
    <t>Sales</t>
  </si>
  <si>
    <t>Items</t>
  </si>
  <si>
    <t>1-Total Orders</t>
  </si>
  <si>
    <t>2-Total Sales</t>
  </si>
  <si>
    <t>3-Total Items</t>
  </si>
  <si>
    <t>4-Most Popular Coffee</t>
  </si>
  <si>
    <t>Row Labels</t>
  </si>
  <si>
    <t>Americano</t>
  </si>
  <si>
    <t>Americano with Milk</t>
  </si>
  <si>
    <t>Cappuccino</t>
  </si>
  <si>
    <t>Cocoa</t>
  </si>
  <si>
    <t>Cortado</t>
  </si>
  <si>
    <t>Espresso</t>
  </si>
  <si>
    <t>Hot Chocolate</t>
  </si>
  <si>
    <t>Latte</t>
  </si>
  <si>
    <t>Grand Total</t>
  </si>
  <si>
    <t>5-Orders By Month</t>
  </si>
  <si>
    <t>Mar</t>
  </si>
  <si>
    <t>Apr</t>
  </si>
  <si>
    <t>May</t>
  </si>
  <si>
    <t>Jun</t>
  </si>
  <si>
    <t>Jul</t>
  </si>
  <si>
    <t>Aug</t>
  </si>
  <si>
    <t>6-Orders By Day</t>
  </si>
  <si>
    <t>Friday</t>
  </si>
  <si>
    <t>Monday</t>
  </si>
  <si>
    <t>Saturday</t>
  </si>
  <si>
    <t>Sunday</t>
  </si>
  <si>
    <t>Thursday</t>
  </si>
  <si>
    <t>Tuesday</t>
  </si>
  <si>
    <t>Wednesday</t>
  </si>
  <si>
    <t>7-Orders By Shift</t>
  </si>
  <si>
    <t>Afternoon</t>
  </si>
  <si>
    <t>Evening</t>
  </si>
  <si>
    <t>Morning</t>
  </si>
  <si>
    <t>8-Orders By Payment Method</t>
  </si>
  <si>
    <t>card</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</si>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</sst>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 x14ac:knownFonts="1">
    <font>
      <sz val="11"/>
      <color theme="1"/>
      <name val="Aptos Narrow"/>
      <family val="2"/>
      <scheme val="minor"/>
    </font>
    <font>
      <sz val="11"/>
      <color rgb="FFC00000"/>
      <name val="Aptos Narrow"/>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xf numFmtId="44" fontId="0" fillId="0" borderId="0" xfId="0" applyNumberFormat="1"/>
  </cellXfs>
  <cellStyles count="1">
    <cellStyle name="Normal" xfId="0" builtinId="0"/>
  </cellStyles>
  <dxfs count="1">
    <dxf>
      <numFmt numFmtId="34" formatCode="_(&quot;$&quot;* #,##0.00_);_(&quot;$&quot;* \(#,##0.00\);_(&quot;$&quot;* &quot;-&quot;??_);_(@_)"/>
    </dxf>
  </dxfs>
  <tableStyles count="1" defaultTableStyle="TableStyleMedium2" defaultPivotStyle="PivotStyleLight16">
    <tableStyle name="Slicer Style 1" pivot="0" table="0" count="0" xr9:uid="{63DA92AE-A919-461B-9F7F-46BD72F914E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(Recovered).xlsx]Analysis!PivotTable4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a:t>Most Popular Coffee </a:t>
            </a:r>
          </a:p>
        </c:rich>
      </c:tx>
      <c:layout>
        <c:manualLayout>
          <c:xMode val="edge"/>
          <c:yMode val="edge"/>
          <c:x val="0.3185830247861533"/>
          <c:y val="9.86698781836778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2520-400C-8631-8A0399465563}"/>
            </c:ext>
          </c:extLst>
        </c:ser>
        <c:dLbls>
          <c:dLblPos val="outEnd"/>
          <c:showLegendKey val="0"/>
          <c:showVal val="1"/>
          <c:showCatName val="0"/>
          <c:showSerName val="0"/>
          <c:showPercent val="0"/>
          <c:showBubbleSize val="0"/>
        </c:dLbls>
        <c:gapWidth val="100"/>
        <c:overlap val="-24"/>
        <c:axId val="60771343"/>
        <c:axId val="60780943"/>
      </c:barChart>
      <c:catAx>
        <c:axId val="60771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80943"/>
        <c:crosses val="autoZero"/>
        <c:auto val="1"/>
        <c:lblAlgn val="ctr"/>
        <c:lblOffset val="100"/>
        <c:noMultiLvlLbl val="0"/>
      </c:catAx>
      <c:valAx>
        <c:axId val="6078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7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(Recovered).xlsx]Analysis!PivotTable5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Analysis!$F$3:$F$9</c:f>
              <c:strCache>
                <c:ptCount val="6"/>
                <c:pt idx="0">
                  <c:v>Mar</c:v>
                </c:pt>
                <c:pt idx="1">
                  <c:v>Apr</c:v>
                </c:pt>
                <c:pt idx="2">
                  <c:v>May</c:v>
                </c:pt>
                <c:pt idx="3">
                  <c:v>Jun</c:v>
                </c:pt>
                <c:pt idx="4">
                  <c:v>Jul</c:v>
                </c:pt>
                <c:pt idx="5">
                  <c:v>Aug</c:v>
                </c:pt>
              </c:strCache>
            </c:strRef>
          </c:cat>
          <c:val>
            <c:numRef>
              <c:f>Analysis!$G$3:$G$9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0FE0-4432-8C07-DABD51525330}"/>
            </c:ext>
          </c:extLst>
        </c:ser>
        <c:dLbls>
          <c:dLblPos val="t"/>
          <c:showLegendKey val="0"/>
          <c:showVal val="1"/>
          <c:showCatName val="0"/>
          <c:showSerName val="0"/>
          <c:showPercent val="0"/>
          <c:showBubbleSize val="0"/>
        </c:dLbls>
        <c:marker val="1"/>
        <c:smooth val="0"/>
        <c:axId val="60775183"/>
        <c:axId val="60775663"/>
      </c:lineChart>
      <c:catAx>
        <c:axId val="607751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75663"/>
        <c:crosses val="autoZero"/>
        <c:auto val="1"/>
        <c:lblAlgn val="ctr"/>
        <c:lblOffset val="100"/>
        <c:noMultiLvlLbl val="0"/>
      </c:catAx>
      <c:valAx>
        <c:axId val="6077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(Recovered).xlsx]Analysis!PivotTable10</c:name>
    <c:fmtId val="2"/>
  </c:pivotSource>
  <c:chart>
    <c:title>
      <c:tx>
        <c:rich>
          <a:bodyPr rot="0" spcFirstLastPara="1" vertOverflow="ellipsis" vert="horz" wrap="square" anchor="ctr" anchorCtr="1"/>
          <a:lstStyle/>
          <a:p>
            <a:pPr lvl="1" algn="ctr" rtl="0">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8-Orders By Payment Method </a:t>
            </a:r>
          </a:p>
        </c:rich>
      </c:tx>
      <c:overlay val="0"/>
      <c:spPr>
        <a:noFill/>
        <a:ln>
          <a:noFill/>
        </a:ln>
        <a:effectLst/>
      </c:spPr>
      <c:txPr>
        <a:bodyPr rot="0" spcFirstLastPara="1" vertOverflow="ellipsis" vert="horz" wrap="square" anchor="ctr" anchorCtr="1"/>
        <a:lstStyle/>
        <a:p>
          <a:pPr lvl="1" algn="ctr" rtl="0">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33483774700489E-2"/>
              <c:y val="2.662860716512838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Analysis!$P$2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68-4987-98FA-A77CFFAC80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68-4987-98FA-A77CFFAC80F3}"/>
              </c:ext>
            </c:extLst>
          </c:dPt>
          <c:dLbls>
            <c:dLbl>
              <c:idx val="1"/>
              <c:layout>
                <c:manualLayout>
                  <c:x val="-3.2133483774700489E-2"/>
                  <c:y val="2.66286071651283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68-4987-98FA-A77CFFAC80F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Analysis!$O$3:$O$5</c:f>
              <c:strCache>
                <c:ptCount val="2"/>
                <c:pt idx="0">
                  <c:v>card</c:v>
                </c:pt>
                <c:pt idx="1">
                  <c:v>cash</c:v>
                </c:pt>
              </c:strCache>
            </c:strRef>
          </c:cat>
          <c:val>
            <c:numRef>
              <c:f>Analysis!$P$3:$P$5</c:f>
              <c:numCache>
                <c:formatCode>General</c:formatCode>
                <c:ptCount val="2"/>
                <c:pt idx="0">
                  <c:v>1224</c:v>
                </c:pt>
                <c:pt idx="1">
                  <c:v>89</c:v>
                </c:pt>
              </c:numCache>
            </c:numRef>
          </c:val>
          <c:extLst>
            <c:ext xmlns:c16="http://schemas.microsoft.com/office/drawing/2014/chart" uri="{C3380CC4-5D6E-409C-BE32-E72D297353CC}">
              <c16:uniqueId val="{00000004-6F68-4987-98FA-A77CFFAC80F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(Recovered).xlsx]Analysis!PivotTable9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Shift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Analysis!$L$3:$L$6</c:f>
              <c:strCache>
                <c:ptCount val="3"/>
                <c:pt idx="0">
                  <c:v>Evening</c:v>
                </c:pt>
                <c:pt idx="1">
                  <c:v>Afternoon</c:v>
                </c:pt>
                <c:pt idx="2">
                  <c:v>Morning</c:v>
                </c:pt>
              </c:strCache>
            </c:strRef>
          </c:cat>
          <c:val>
            <c:numRef>
              <c:f>Analysis!$M$3:$M$6</c:f>
              <c:numCache>
                <c:formatCode>General</c:formatCode>
                <c:ptCount val="3"/>
                <c:pt idx="0">
                  <c:v>383</c:v>
                </c:pt>
                <c:pt idx="1">
                  <c:v>420</c:v>
                </c:pt>
                <c:pt idx="2">
                  <c:v>510</c:v>
                </c:pt>
              </c:numCache>
            </c:numRef>
          </c:val>
          <c:extLst>
            <c:ext xmlns:c16="http://schemas.microsoft.com/office/drawing/2014/chart" uri="{C3380CC4-5D6E-409C-BE32-E72D297353CC}">
              <c16:uniqueId val="{00000000-611F-40E4-AFA9-8CC32EBC4A51}"/>
            </c:ext>
          </c:extLst>
        </c:ser>
        <c:dLbls>
          <c:dLblPos val="outEnd"/>
          <c:showLegendKey val="0"/>
          <c:showVal val="1"/>
          <c:showCatName val="0"/>
          <c:showSerName val="0"/>
          <c:showPercent val="0"/>
          <c:showBubbleSize val="0"/>
        </c:dLbls>
        <c:gapWidth val="115"/>
        <c:overlap val="-20"/>
        <c:axId val="156772863"/>
        <c:axId val="156756543"/>
      </c:barChart>
      <c:catAx>
        <c:axId val="156772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56543"/>
        <c:crosses val="autoZero"/>
        <c:auto val="1"/>
        <c:lblAlgn val="ctr"/>
        <c:lblOffset val="100"/>
        <c:noMultiLvlLbl val="0"/>
      </c:catAx>
      <c:valAx>
        <c:axId val="156756543"/>
        <c:scaling>
          <c:orientation val="minMax"/>
        </c:scaling>
        <c:delete val="1"/>
        <c:axPos val="b"/>
        <c:numFmt formatCode="General" sourceLinked="1"/>
        <c:majorTickMark val="none"/>
        <c:minorTickMark val="none"/>
        <c:tickLblPos val="nextTo"/>
        <c:crossAx val="15677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20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Orders</a:t>
            </a:r>
            <a:r>
              <a:rPr lang="en-US" sz="1400" b="0"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US" sz="20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By</a:t>
            </a:r>
            <a:r>
              <a:rPr lang="en-US" sz="1400" b="0"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US" sz="20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Day</a:t>
            </a:r>
            <a:r>
              <a:rPr lang="en-US" dirty="0">
                <a:effectLst/>
              </a:rPr>
              <a:t> </a:t>
            </a:r>
            <a:r>
              <a:rPr lang="en-US" sz="1400" b="0" i="0" u="none" strike="noStrike" baseline="0" dirty="0">
                <a:solidFill>
                  <a:sysClr val="windowText" lastClr="000000">
                    <a:lumMod val="65000"/>
                    <a:lumOff val="35000"/>
                  </a:sysClr>
                </a:solidFill>
                <a:latin typeface="Aptos Narrow" panose="02110004020202020204"/>
              </a:rPr>
              <a:t> </a:t>
            </a:r>
          </a:p>
        </cx:rich>
      </cx:tx>
    </cx:title>
    <cx:plotArea>
      <cx:plotAreaRegion>
        <cx:series layoutId="treemap" uniqueId="{5E52BBD8-B3CD-42FC-B164-56FFACB7CCD3}">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11</xdr:col>
      <xdr:colOff>510988</xdr:colOff>
      <xdr:row>1</xdr:row>
      <xdr:rowOff>167640</xdr:rowOff>
    </xdr:from>
    <xdr:ext cx="3845859" cy="601980"/>
    <xdr:sp macro="" textlink="">
      <xdr:nvSpPr>
        <xdr:cNvPr id="5" name="Rectangle 4">
          <a:extLst>
            <a:ext uri="{FF2B5EF4-FFF2-40B4-BE49-F238E27FC236}">
              <a16:creationId xmlns:a16="http://schemas.microsoft.com/office/drawing/2014/main" id="{EAB340E5-F7C7-4A82-9A01-BD1B5EDDBF7D}"/>
            </a:ext>
          </a:extLst>
        </xdr:cNvPr>
        <xdr:cNvSpPr/>
      </xdr:nvSpPr>
      <xdr:spPr>
        <a:xfrm>
          <a:off x="6858000" y="346934"/>
          <a:ext cx="3845859" cy="601980"/>
        </a:xfrm>
        <a:prstGeom prst="rect">
          <a:avLst/>
        </a:prstGeom>
      </xdr:spPr>
      <xdr:style>
        <a:lnRef idx="3">
          <a:schemeClr val="lt1"/>
        </a:lnRef>
        <a:fillRef idx="1">
          <a:schemeClr val="accent2"/>
        </a:fillRef>
        <a:effectRef idx="1">
          <a:schemeClr val="accent2"/>
        </a:effectRef>
        <a:fontRef idx="minor">
          <a:schemeClr val="lt1"/>
        </a:fontRef>
      </xdr:style>
      <xdr:txBody>
        <a:bodyPr wrap="none" lIns="91440" tIns="45720" rIns="91440" bIns="45720" anchor="ctr">
          <a:noAutofit/>
        </a:bodyPr>
        <a:lstStyle/>
        <a:p>
          <a:pPr algn="ctr"/>
          <a:r>
            <a:rPr lang="en-US" sz="4400" b="1" cap="none" spc="0">
              <a:ln w="6600">
                <a:solidFill>
                  <a:schemeClr val="accent2"/>
                </a:solidFill>
                <a:prstDash val="solid"/>
              </a:ln>
              <a:solidFill>
                <a:srgbClr val="FFFFFF"/>
              </a:solidFill>
              <a:effectLst>
                <a:outerShdw dist="38100" dir="2700000" algn="tl" rotWithShape="0">
                  <a:schemeClr val="accent2"/>
                </a:outerShdw>
              </a:effectLst>
            </a:rPr>
            <a:t>COSTA CAFFE</a:t>
          </a:r>
        </a:p>
      </xdr:txBody>
    </xdr:sp>
    <xdr:clientData/>
  </xdr:oneCellAnchor>
  <xdr:twoCellAnchor editAs="oneCell">
    <xdr:from>
      <xdr:col>10</xdr:col>
      <xdr:colOff>354555</xdr:colOff>
      <xdr:row>1</xdr:row>
      <xdr:rowOff>141413</xdr:rowOff>
    </xdr:from>
    <xdr:to>
      <xdr:col>11</xdr:col>
      <xdr:colOff>415515</xdr:colOff>
      <xdr:row>5</xdr:row>
      <xdr:rowOff>50650</xdr:rowOff>
    </xdr:to>
    <xdr:pic>
      <xdr:nvPicPr>
        <xdr:cNvPr id="6" name="Picture 5">
          <a:extLst>
            <a:ext uri="{FF2B5EF4-FFF2-40B4-BE49-F238E27FC236}">
              <a16:creationId xmlns:a16="http://schemas.microsoft.com/office/drawing/2014/main" id="{924D1C37-C62E-415A-9B39-C70BC128D0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967" y="320707"/>
          <a:ext cx="670560" cy="626414"/>
        </a:xfrm>
        <a:prstGeom prst="rect">
          <a:avLst/>
        </a:prstGeom>
      </xdr:spPr>
    </xdr:pic>
    <xdr:clientData/>
  </xdr:twoCellAnchor>
  <xdr:twoCellAnchor>
    <xdr:from>
      <xdr:col>12</xdr:col>
      <xdr:colOff>410135</xdr:colOff>
      <xdr:row>5</xdr:row>
      <xdr:rowOff>164951</xdr:rowOff>
    </xdr:from>
    <xdr:to>
      <xdr:col>16</xdr:col>
      <xdr:colOff>227255</xdr:colOff>
      <xdr:row>10</xdr:row>
      <xdr:rowOff>97972</xdr:rowOff>
    </xdr:to>
    <xdr:grpSp>
      <xdr:nvGrpSpPr>
        <xdr:cNvPr id="11" name="Group 10">
          <a:extLst>
            <a:ext uri="{FF2B5EF4-FFF2-40B4-BE49-F238E27FC236}">
              <a16:creationId xmlns:a16="http://schemas.microsoft.com/office/drawing/2014/main" id="{1233EB85-08C9-8A9A-8CA2-F15FD5472E14}"/>
            </a:ext>
          </a:extLst>
        </xdr:cNvPr>
        <xdr:cNvGrpSpPr/>
      </xdr:nvGrpSpPr>
      <xdr:grpSpPr>
        <a:xfrm>
          <a:off x="7366106" y="1090237"/>
          <a:ext cx="2255520" cy="858306"/>
          <a:chOff x="5151120" y="1257300"/>
          <a:chExt cx="2255520" cy="647700"/>
        </a:xfrm>
      </xdr:grpSpPr>
      <xdr:sp macro="" textlink="">
        <xdr:nvSpPr>
          <xdr:cNvPr id="7" name="Rectangle: Rounded Corners 6">
            <a:extLst>
              <a:ext uri="{FF2B5EF4-FFF2-40B4-BE49-F238E27FC236}">
                <a16:creationId xmlns:a16="http://schemas.microsoft.com/office/drawing/2014/main" id="{6DACB62F-3F06-152D-7C19-3390C01BCC2C}"/>
              </a:ext>
            </a:extLst>
          </xdr:cNvPr>
          <xdr:cNvSpPr/>
        </xdr:nvSpPr>
        <xdr:spPr>
          <a:xfrm>
            <a:off x="5151120" y="1257300"/>
            <a:ext cx="22555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bg1"/>
                </a:solidFill>
                <a:latin typeface="Aptos Narrow"/>
                <a:ea typeface="+mn-ea"/>
                <a:cs typeface="+mn-cs"/>
              </a:rPr>
              <a:t>Ordars</a:t>
            </a:r>
          </a:p>
        </xdr:txBody>
      </xdr:sp>
      <xdr:sp macro="" textlink="Analysis!A3">
        <xdr:nvSpPr>
          <xdr:cNvPr id="10" name="TextBox 9">
            <a:extLst>
              <a:ext uri="{FF2B5EF4-FFF2-40B4-BE49-F238E27FC236}">
                <a16:creationId xmlns:a16="http://schemas.microsoft.com/office/drawing/2014/main" id="{5E3037AC-B10D-A540-B0AF-8E21D17FAE9B}"/>
              </a:ext>
            </a:extLst>
          </xdr:cNvPr>
          <xdr:cNvSpPr txBox="1"/>
        </xdr:nvSpPr>
        <xdr:spPr>
          <a:xfrm>
            <a:off x="5242560" y="1531620"/>
            <a:ext cx="211074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126F1B1-B802-4F27-8960-1B907DA0BC4B}" type="TxLink">
              <a:rPr lang="en-US" sz="2000" b="0" i="0" u="none" strike="noStrike">
                <a:solidFill>
                  <a:schemeClr val="tx2">
                    <a:lumMod val="10000"/>
                    <a:lumOff val="90000"/>
                  </a:schemeClr>
                </a:solidFill>
                <a:latin typeface="Aptos Narrow"/>
              </a:rPr>
              <a:pPr algn="ctr"/>
              <a:t>1313</a:t>
            </a:fld>
            <a:endParaRPr lang="en-US" sz="2000">
              <a:solidFill>
                <a:schemeClr val="tx2">
                  <a:lumMod val="10000"/>
                  <a:lumOff val="90000"/>
                </a:schemeClr>
              </a:solidFill>
            </a:endParaRPr>
          </a:p>
        </xdr:txBody>
      </xdr:sp>
    </xdr:grpSp>
    <xdr:clientData/>
  </xdr:twoCellAnchor>
  <xdr:twoCellAnchor>
    <xdr:from>
      <xdr:col>8</xdr:col>
      <xdr:colOff>293915</xdr:colOff>
      <xdr:row>5</xdr:row>
      <xdr:rowOff>173915</xdr:rowOff>
    </xdr:from>
    <xdr:to>
      <xdr:col>12</xdr:col>
      <xdr:colOff>272078</xdr:colOff>
      <xdr:row>10</xdr:row>
      <xdr:rowOff>108858</xdr:rowOff>
    </xdr:to>
    <xdr:grpSp>
      <xdr:nvGrpSpPr>
        <xdr:cNvPr id="12" name="Group 11">
          <a:extLst>
            <a:ext uri="{FF2B5EF4-FFF2-40B4-BE49-F238E27FC236}">
              <a16:creationId xmlns:a16="http://schemas.microsoft.com/office/drawing/2014/main" id="{10F73DB2-E1A8-4720-8B2C-77B46666EC15}"/>
            </a:ext>
          </a:extLst>
        </xdr:cNvPr>
        <xdr:cNvGrpSpPr/>
      </xdr:nvGrpSpPr>
      <xdr:grpSpPr>
        <a:xfrm>
          <a:off x="4811486" y="1099201"/>
          <a:ext cx="2416563" cy="860228"/>
          <a:chOff x="5151120" y="1257300"/>
          <a:chExt cx="2255520" cy="647700"/>
        </a:xfrm>
      </xdr:grpSpPr>
      <xdr:sp macro="" textlink="">
        <xdr:nvSpPr>
          <xdr:cNvPr id="13" name="Rectangle: Rounded Corners 12">
            <a:extLst>
              <a:ext uri="{FF2B5EF4-FFF2-40B4-BE49-F238E27FC236}">
                <a16:creationId xmlns:a16="http://schemas.microsoft.com/office/drawing/2014/main" id="{5F86FF52-9D0C-4149-2609-1210E3BBE4F6}"/>
              </a:ext>
            </a:extLst>
          </xdr:cNvPr>
          <xdr:cNvSpPr/>
        </xdr:nvSpPr>
        <xdr:spPr>
          <a:xfrm>
            <a:off x="5151120" y="1257300"/>
            <a:ext cx="22555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a:t>
            </a:r>
            <a:endParaRPr lang="en-US" sz="1100" b="1"/>
          </a:p>
        </xdr:txBody>
      </xdr:sp>
      <xdr:sp macro="" textlink="Analysis!A9">
        <xdr:nvSpPr>
          <xdr:cNvPr id="14" name="TextBox 13">
            <a:extLst>
              <a:ext uri="{FF2B5EF4-FFF2-40B4-BE49-F238E27FC236}">
                <a16:creationId xmlns:a16="http://schemas.microsoft.com/office/drawing/2014/main" id="{78FC71FB-6286-AF77-DB68-916B21F39556}"/>
              </a:ext>
            </a:extLst>
          </xdr:cNvPr>
          <xdr:cNvSpPr txBox="1"/>
        </xdr:nvSpPr>
        <xdr:spPr>
          <a:xfrm>
            <a:off x="5242560" y="1531620"/>
            <a:ext cx="211074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A986573-D053-4CE0-A42C-C8DAA40F9BA5}" type="TxLink">
              <a:rPr lang="en-US" sz="2000" b="0" i="0" u="none" strike="noStrike">
                <a:solidFill>
                  <a:schemeClr val="tx2">
                    <a:lumMod val="10000"/>
                    <a:lumOff val="90000"/>
                  </a:schemeClr>
                </a:solidFill>
                <a:latin typeface="Aptos Narrow"/>
              </a:rPr>
              <a:pPr algn="ctr"/>
              <a:t> $42,627.58 </a:t>
            </a:fld>
            <a:endParaRPr lang="en-US" sz="1400">
              <a:solidFill>
                <a:schemeClr val="tx2">
                  <a:lumMod val="10000"/>
                  <a:lumOff val="90000"/>
                </a:schemeClr>
              </a:solidFill>
            </a:endParaRPr>
          </a:p>
        </xdr:txBody>
      </xdr:sp>
    </xdr:grpSp>
    <xdr:clientData/>
  </xdr:twoCellAnchor>
  <xdr:twoCellAnchor>
    <xdr:from>
      <xdr:col>16</xdr:col>
      <xdr:colOff>390861</xdr:colOff>
      <xdr:row>5</xdr:row>
      <xdr:rowOff>173914</xdr:rowOff>
    </xdr:from>
    <xdr:to>
      <xdr:col>20</xdr:col>
      <xdr:colOff>207981</xdr:colOff>
      <xdr:row>10</xdr:row>
      <xdr:rowOff>97972</xdr:rowOff>
    </xdr:to>
    <xdr:grpSp>
      <xdr:nvGrpSpPr>
        <xdr:cNvPr id="15" name="Group 14">
          <a:extLst>
            <a:ext uri="{FF2B5EF4-FFF2-40B4-BE49-F238E27FC236}">
              <a16:creationId xmlns:a16="http://schemas.microsoft.com/office/drawing/2014/main" id="{46412B35-69B9-4D8E-A14C-648FCDBE3879}"/>
            </a:ext>
          </a:extLst>
        </xdr:cNvPr>
        <xdr:cNvGrpSpPr/>
      </xdr:nvGrpSpPr>
      <xdr:grpSpPr>
        <a:xfrm>
          <a:off x="9785232" y="1099200"/>
          <a:ext cx="2255520" cy="849343"/>
          <a:chOff x="5151120" y="1257300"/>
          <a:chExt cx="2255520" cy="647700"/>
        </a:xfrm>
      </xdr:grpSpPr>
      <xdr:sp macro="" textlink="">
        <xdr:nvSpPr>
          <xdr:cNvPr id="16" name="Rectangle: Rounded Corners 15">
            <a:extLst>
              <a:ext uri="{FF2B5EF4-FFF2-40B4-BE49-F238E27FC236}">
                <a16:creationId xmlns:a16="http://schemas.microsoft.com/office/drawing/2014/main" id="{3E447B38-52C5-198B-2E19-4B3573F74759}"/>
              </a:ext>
            </a:extLst>
          </xdr:cNvPr>
          <xdr:cNvSpPr/>
        </xdr:nvSpPr>
        <xdr:spPr>
          <a:xfrm>
            <a:off x="5151120" y="1257300"/>
            <a:ext cx="22555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Items</a:t>
            </a:r>
          </a:p>
          <a:p>
            <a:pPr algn="ctr"/>
            <a:endParaRPr lang="en-US" sz="1100" b="1"/>
          </a:p>
        </xdr:txBody>
      </xdr:sp>
      <xdr:sp macro="" textlink="Analysis!A13">
        <xdr:nvSpPr>
          <xdr:cNvPr id="17" name="TextBox 16">
            <a:extLst>
              <a:ext uri="{FF2B5EF4-FFF2-40B4-BE49-F238E27FC236}">
                <a16:creationId xmlns:a16="http://schemas.microsoft.com/office/drawing/2014/main" id="{D5BBA436-5F6C-8497-1ABA-DB85F7C81E98}"/>
              </a:ext>
            </a:extLst>
          </xdr:cNvPr>
          <xdr:cNvSpPr txBox="1"/>
        </xdr:nvSpPr>
        <xdr:spPr>
          <a:xfrm>
            <a:off x="5242560" y="1531620"/>
            <a:ext cx="211074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1EAE3F5-022B-40AC-9493-280253B47558}" type="TxLink">
              <a:rPr lang="en-US" sz="2000" b="0" i="0" u="none" strike="noStrike">
                <a:solidFill>
                  <a:schemeClr val="tx2">
                    <a:lumMod val="10000"/>
                    <a:lumOff val="90000"/>
                  </a:schemeClr>
                </a:solidFill>
                <a:latin typeface="Aptos Narrow"/>
              </a:rPr>
              <a:pPr algn="ctr"/>
              <a:t>8</a:t>
            </a:fld>
            <a:endParaRPr lang="en-US" sz="2000">
              <a:solidFill>
                <a:schemeClr val="tx2">
                  <a:lumMod val="10000"/>
                  <a:lumOff val="90000"/>
                </a:schemeClr>
              </a:solidFill>
            </a:endParaRPr>
          </a:p>
        </xdr:txBody>
      </xdr:sp>
    </xdr:grpSp>
    <xdr:clientData/>
  </xdr:twoCellAnchor>
  <xdr:twoCellAnchor>
    <xdr:from>
      <xdr:col>2</xdr:col>
      <xdr:colOff>545567</xdr:colOff>
      <xdr:row>11</xdr:row>
      <xdr:rowOff>51289</xdr:rowOff>
    </xdr:from>
    <xdr:to>
      <xdr:col>13</xdr:col>
      <xdr:colOff>455919</xdr:colOff>
      <xdr:row>22</xdr:row>
      <xdr:rowOff>175388</xdr:rowOff>
    </xdr:to>
    <xdr:graphicFrame macro="">
      <xdr:nvGraphicFramePr>
        <xdr:cNvPr id="18" name="Chart 17">
          <a:extLst>
            <a:ext uri="{FF2B5EF4-FFF2-40B4-BE49-F238E27FC236}">
              <a16:creationId xmlns:a16="http://schemas.microsoft.com/office/drawing/2014/main" id="{C8DA51F6-5295-4B6B-8575-D6659A2C7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559909</xdr:colOff>
      <xdr:row>11</xdr:row>
      <xdr:rowOff>53403</xdr:rowOff>
    </xdr:from>
    <xdr:to>
      <xdr:col>25</xdr:col>
      <xdr:colOff>550047</xdr:colOff>
      <xdr:row>22</xdr:row>
      <xdr:rowOff>181087</xdr:rowOff>
    </xdr:to>
    <xdr:graphicFrame macro="">
      <xdr:nvGraphicFramePr>
        <xdr:cNvPr id="19" name="Chart 18">
          <a:extLst>
            <a:ext uri="{FF2B5EF4-FFF2-40B4-BE49-F238E27FC236}">
              <a16:creationId xmlns:a16="http://schemas.microsoft.com/office/drawing/2014/main" id="{2932A411-3360-4D90-AC91-B9240E620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526995</xdr:colOff>
      <xdr:row>23</xdr:row>
      <xdr:rowOff>131907</xdr:rowOff>
    </xdr:from>
    <xdr:to>
      <xdr:col>10</xdr:col>
      <xdr:colOff>365630</xdr:colOff>
      <xdr:row>39</xdr:row>
      <xdr:rowOff>638</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8C702A76-47EA-4EB6-A12D-E2192410FC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86966" y="4388221"/>
              <a:ext cx="4715435" cy="28296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478972</xdr:colOff>
      <xdr:row>23</xdr:row>
      <xdr:rowOff>142793</xdr:rowOff>
    </xdr:from>
    <xdr:to>
      <xdr:col>18</xdr:col>
      <xdr:colOff>247171</xdr:colOff>
      <xdr:row>38</xdr:row>
      <xdr:rowOff>152399</xdr:rowOff>
    </xdr:to>
    <xdr:graphicFrame macro="">
      <xdr:nvGraphicFramePr>
        <xdr:cNvPr id="22" name="Chart 21">
          <a:extLst>
            <a:ext uri="{FF2B5EF4-FFF2-40B4-BE49-F238E27FC236}">
              <a16:creationId xmlns:a16="http://schemas.microsoft.com/office/drawing/2014/main" id="{9FC7F317-01C9-48E8-A63E-26F03B26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421342</xdr:colOff>
      <xdr:row>23</xdr:row>
      <xdr:rowOff>142794</xdr:rowOff>
    </xdr:from>
    <xdr:to>
      <xdr:col>25</xdr:col>
      <xdr:colOff>543262</xdr:colOff>
      <xdr:row>39</xdr:row>
      <xdr:rowOff>11525</xdr:rowOff>
    </xdr:to>
    <xdr:graphicFrame macro="">
      <xdr:nvGraphicFramePr>
        <xdr:cNvPr id="23" name="Chart 22">
          <a:extLst>
            <a:ext uri="{FF2B5EF4-FFF2-40B4-BE49-F238E27FC236}">
              <a16:creationId xmlns:a16="http://schemas.microsoft.com/office/drawing/2014/main" id="{142B8B03-FF3B-464C-ABE3-1A1AC8C25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32657</xdr:colOff>
      <xdr:row>3</xdr:row>
      <xdr:rowOff>152400</xdr:rowOff>
    </xdr:from>
    <xdr:to>
      <xdr:col>8</xdr:col>
      <xdr:colOff>97972</xdr:colOff>
      <xdr:row>10</xdr:row>
      <xdr:rowOff>76200</xdr:rowOff>
    </xdr:to>
    <mc:AlternateContent xmlns:mc="http://schemas.openxmlformats.org/markup-compatibility/2006" xmlns:a14="http://schemas.microsoft.com/office/drawing/2010/main">
      <mc:Choice Requires="a14">
        <xdr:graphicFrame macro="">
          <xdr:nvGraphicFramePr>
            <xdr:cNvPr id="24" name="date (Month)">
              <a:extLst>
                <a:ext uri="{FF2B5EF4-FFF2-40B4-BE49-F238E27FC236}">
                  <a16:creationId xmlns:a16="http://schemas.microsoft.com/office/drawing/2014/main" id="{DE516D59-B41F-4D35-AEBE-ADCE5395586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02228" y="707571"/>
              <a:ext cx="311331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2939816" backgroundQuery="1" createdVersion="8" refreshedVersion="8" minRefreshableVersion="3" recordCount="0" supportSubquery="1" supportAdvancedDrill="1" xr:uid="{F6F433AB-0F21-47DA-A46F-EFEF1BC99604}">
  <cacheSource type="external" connectionId="2"/>
  <cacheFields count="2">
    <cacheField name="[Measures].[Orders]" caption="Orders" numFmtId="0" hierarchy="9" level="32767"/>
    <cacheField name="[index].[date (Month)].[date (Month)]" caption="date (Month)" numFmtId="0" hierarchy="7" level="1">
      <sharedItems count="6">
        <s v="Mar"/>
        <s v="Apr"/>
        <s v="May"/>
        <s v="Jun"/>
        <s v="Jul"/>
        <s v="Aug"/>
      </sharedItems>
    </cacheField>
  </cacheFields>
  <cacheHierarchies count="14">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_name]" caption="coffee_name" attribute="1" defaultMemberUniqueName="[index].[coffee_name].[All]" allUniqueName="[index].[coffee_name].[All]" dimensionUniqueName="[index]" displayFolder="" count="2" memberValueDatatype="130" unbalanced="0"/>
    <cacheHierarchy uniqueName="[index].[Day Name]" caption="Day Name" attribute="1" defaultMemberUniqueName="[index].[Day Name].[All]" allUniqueName="[index].[Day Name].[All]" dimensionUniqueName="[index]" displayFolder="" count="2" memberValueDatatype="130" unbalanced="0"/>
    <cacheHierarchy uniqueName="[index].[Shift]" caption="Shift" attribute="1" defaultMemberUniqueName="[index].[Shift].[All]" allUniqueName="[index].[Shift].[All]" dimensionUniqueName="[index]" displayFolder="" count="2"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2"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328704" backgroundQuery="1" createdVersion="8" refreshedVersion="8" minRefreshableVersion="3" recordCount="0" supportSubquery="1" supportAdvancedDrill="1" xr:uid="{2C0D9595-E3B2-47B4-807D-5854DF1D3669}">
  <cacheSource type="external" connectionId="2"/>
  <cacheFields count="2">
    <cacheField name="[Measures].[Orders]" caption="Orders" numFmtId="0" hierarchy="9" level="32767"/>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386574" backgroundQuery="1" createdVersion="8" refreshedVersion="8" minRefreshableVersion="3" recordCount="0" supportSubquery="1" supportAdvancedDrill="1" xr:uid="{56289639-6D14-42B9-B652-1BDDA6DE778A}">
  <cacheSource type="external" connectionId="2"/>
  <cacheFields count="3">
    <cacheField name="[Measures].[Orders]" caption="Orders" numFmtId="0" hierarchy="9" level="32767"/>
    <cacheField name="[index].[cash_type].[cash_type]" caption="cash_type" numFmtId="0" hierarchy="2" level="1">
      <sharedItems count="2">
        <s v="card"/>
        <s v="cash"/>
      </sharedItems>
    </cacheField>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2" memberValueDatatype="130" unbalanced="0">
      <fieldsUsage count="2">
        <fieldUsage x="-1"/>
        <fieldUsage x="1"/>
      </fieldsUsage>
    </cacheHierarchy>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2"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2"/>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4212963" backgroundQuery="1" createdVersion="8" refreshedVersion="8" minRefreshableVersion="3" recordCount="0" supportSubquery="1" supportAdvancedDrill="1" xr:uid="{5BDD7106-F84C-43F2-833F-431C068224CE}">
  <cacheSource type="external" connectionId="2"/>
  <cacheFields count="2">
    <cacheField name="[Measures].[Sales]" caption="Sales" numFmtId="0" hierarchy="11" level="32767"/>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oneField="1">
      <fieldsUsage count="1">
        <fieldUsage x="0"/>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4444448" backgroundQuery="1" createdVersion="8" refreshedVersion="8" minRefreshableVersion="3" recordCount="0" supportSubquery="1" supportAdvancedDrill="1" xr:uid="{0260E3CB-4886-453E-875F-15FB82DBD95D}">
  <cacheSource type="external" connectionId="2"/>
  <cacheFields count="2">
    <cacheField name="[Measures].[Items]" caption="Items" numFmtId="0" hierarchy="10" level="32767"/>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490741" backgroundQuery="1" createdVersion="8" refreshedVersion="8" minRefreshableVersion="3" recordCount="0" supportSubquery="1" supportAdvancedDrill="1" xr:uid="{3939F9A1-F0C6-4ABD-A5C0-517C0F4AC775}">
  <cacheSource type="external" connectionId="2"/>
  <cacheFields count="3">
    <cacheField name="[Measures].[Orders]" caption="Orders" numFmtId="0" hierarchy="9" level="32767"/>
    <cacheField name="[index].[coffee_name].[coffee_name]" caption="coffee_name" numFmtId="0" hierarchy="4" level="1">
      <sharedItems count="8">
        <s v="Americano"/>
        <s v="Americano with Milk"/>
        <s v="Cappuccino"/>
        <s v="Cocoa"/>
        <s v="Cortado"/>
        <s v="Espresso"/>
        <s v="Hot Chocolate"/>
        <s v="Latte"/>
      </sharedItems>
    </cacheField>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2"/>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548611" backgroundQuery="1" createdVersion="8" refreshedVersion="8" minRefreshableVersion="3" recordCount="0" supportSubquery="1" supportAdvancedDrill="1" xr:uid="{A5ABC94E-FE94-43F0-812B-E00F74F2DECE}">
  <cacheSource type="external" connectionId="2"/>
  <cacheFields count="3">
    <cacheField name="[Measures].[Orders]" caption="Orders" numFmtId="0" hierarchy="9" level="32767"/>
    <cacheField name="[index].[Day Name].[Day Name]" caption="Day Name" numFmtId="0" hierarchy="5" level="1">
      <sharedItems count="7">
        <s v="Friday"/>
        <s v="Monday"/>
        <s v="Saturday"/>
        <s v="Sunday"/>
        <s v="Thursday"/>
        <s v="Tuesday"/>
        <s v="Wednesday"/>
      </sharedItems>
    </cacheField>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2"/>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9796064818" backgroundQuery="1" createdVersion="8" refreshedVersion="8" minRefreshableVersion="3" recordCount="0" supportSubquery="1" supportAdvancedDrill="1" xr:uid="{4ED60AEB-C385-4CA1-8F3C-4CB444E5C36F}">
  <cacheSource type="external" connectionId="2"/>
  <cacheFields count="3">
    <cacheField name="[Measures].[Orders]" caption="Orders" numFmtId="0" hierarchy="9" level="32767"/>
    <cacheField name="[index].[Shift].[Shift]" caption="Shift" numFmtId="0" hierarchy="6" level="1">
      <sharedItems count="3">
        <s v="Afternoon"/>
        <s v="Evening"/>
        <s v="Morning"/>
      </sharedItems>
    </cacheField>
    <cacheField name="[index].[date (Month)].[date (Month)]" caption="date (Month)" numFmtId="0" hierarchy="7"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2" memberValueDatatype="130" unbalanced="0">
      <fieldsUsage count="2">
        <fieldUsage x="-1"/>
        <fieldUsage x="1"/>
      </fieldsUsage>
    </cacheHierarchy>
    <cacheHierarchy uniqueName="[index].[date (Month)]" caption="date (Month)" attribute="1" defaultMemberUniqueName="[index].[date (Month)].[All]" allUniqueName="[index].[date (Month)].[All]" dimensionUniqueName="[index]" displayFolder="" count="2" memberValueDatatype="130" unbalanced="0">
      <fieldsUsage count="2">
        <fieldUsage x="-1"/>
        <fieldUsage x="2"/>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3.924968055559" backgroundQuery="1" createdVersion="3" refreshedVersion="8" minRefreshableVersion="3" recordCount="0" supportSubquery="1" supportAdvancedDrill="1" xr:uid="{955A50DB-BE7D-473C-986E-504173A446AE}">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95842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63004-4F54-429E-999E-88C26A764FA1}" name="PivotTable2" cacheId="3" applyNumberFormats="0" applyBorderFormats="0" applyFontFormats="0" applyPatternFormats="0" applyAlignmentFormats="0" applyWidthHeightFormats="1" dataCaption="Values" tag="40aa1cd3-3bfd-4bc6-9298-cd38663a2137"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1">
    <format dxfId="0">
      <pivotArea outline="0" collapsedLevelsAreSubtotals="1" fieldPosition="0"/>
    </format>
  </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E55A97-D121-467D-8196-01732E93D166}" name="PivotTable1" cacheId="1" applyNumberFormats="0" applyBorderFormats="0" applyFontFormats="0" applyPatternFormats="0" applyAlignmentFormats="0" applyWidthHeightFormats="1" dataCaption="Values" tag="9e9ccb4f-39f3-4f75-8024-8bd4f5081929"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7C44A-4DC9-4858-B845-85A0241B598C}" name="PivotTable3" cacheId="4" applyNumberFormats="0" applyBorderFormats="0" applyFontFormats="0" applyPatternFormats="0" applyAlignmentFormats="0" applyWidthHeightFormats="1" dataCaption="Values" tag="9be65dd1-c9ba-4d33-916d-7245ee7bd2a6"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60C6C-9C16-400E-9D49-7C4C826B7596}" name="PivotTable6" cacheId="6" applyNumberFormats="0" applyBorderFormats="0" applyFontFormats="0" applyPatternFormats="0" applyAlignmentFormats="0" applyWidthHeightFormats="1" dataCaption="Values" tag="a502c598-b579-48a2-aaee-2d33b8376997" updatedVersion="8" minRefreshableVersion="3" useAutoFormatting="1" subtotalHiddenItems="1" itemPrintTitles="1" createdVersion="8" indent="0" outline="1" outlineData="1" multipleFieldFilters="0" chartFormat="4">
  <location ref="I2:J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FABA1-AF9E-4DBB-B234-796F5684EB17}" name="PivotTable9" cacheId="7" applyNumberFormats="0" applyBorderFormats="0" applyFontFormats="0" applyPatternFormats="0" applyAlignmentFormats="0" applyWidthHeightFormats="1" dataCaption="Values" tag="5e77c7e3-0b1f-4aa1-8793-45f8ea5fab65" updatedVersion="8" minRefreshableVersion="3" useAutoFormatting="1" subtotalHiddenItems="1" itemPrintTitles="1" createdVersion="8" indent="0" outline="1" outlineData="1" multipleFieldFilters="0" chartFormat="4">
  <location ref="L2:M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92A00F-76B8-42BE-9B98-4174E1CAF332}" name="PivotTable5" cacheId="0" applyNumberFormats="0" applyBorderFormats="0" applyFontFormats="0" applyPatternFormats="0" applyAlignmentFormats="0" applyWidthHeightFormats="1" dataCaption="Values" tag="f53f7e53-737b-4133-86be-dad165345586" updatedVersion="8" minRefreshableVersion="3" useAutoFormatting="1" subtotalHiddenItems="1" itemPrintTitles="1" createdVersion="8" indent="0" outline="1" outlineData="1" multipleFieldFilters="0" chartFormat="7">
  <location ref="F2:G9" firstHeaderRow="1" firstDataRow="1" firstDataCol="1"/>
  <pivotFields count="2">
    <pivotField dataField="1" subtotalTop="0" showAll="0" defaultSubtotal="0"/>
    <pivotField axis="axisRow" allDrilled="1" subtotalTop="0" showAll="0" dataSourceSort="1" defaultSubtotal="0">
      <items count="6">
        <item x="0" e="0"/>
        <item x="1" e="0"/>
        <item x="2" e="0"/>
        <item x="3" e="0"/>
        <item x="4" e="0"/>
        <item x="5" e="0"/>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39DE3-FA13-4B61-9106-4A608431BA22}" name="PivotTable4" cacheId="5" applyNumberFormats="0" applyBorderFormats="0" applyFontFormats="0" applyPatternFormats="0" applyAlignmentFormats="0" applyWidthHeightFormats="1" dataCaption="Values" tag="4f12f074-4a37-49be-81f2-f9653cddaf0b" updatedVersion="8" minRefreshableVersion="3" useAutoFormatting="1" subtotalHiddenItems="1" itemPrintTitles="1" createdVersion="8" indent="0" outline="1" outlineData="1" multipleFieldFilters="0" chartFormat="5">
  <location ref="C2:D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3A764-18DC-4FB8-AC69-B5F62F97A5E1}" name="PivotTable10" cacheId="2" applyNumberFormats="0" applyBorderFormats="0" applyFontFormats="0" applyPatternFormats="0" applyAlignmentFormats="0" applyWidthHeightFormats="1" dataCaption="Values" tag="a2ad7e63-e26a-4e1e-9015-27d4d9e0bf9d" updatedVersion="8" minRefreshableVersion="3" useAutoFormatting="1" subtotalHiddenItems="1" itemPrintTitles="1" createdVersion="8" indent="0" outline="1" outlineData="1" multipleFieldFilters="0" chartFormat="4">
  <location ref="O2:P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10CB6DC-B308-41A5-A642-4A3FA6934EC1}" sourceName="[index].[date (Month)]">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9"/>
  </pivotTables>
  <data>
    <olap pivotCacheId="1279584225">
      <levels count="2">
        <level uniqueName="[index].[date (Month)].[(All)]" sourceCaption="(All)" count="0"/>
        <level uniqueName="[index].[date (Month)].[date (Month)]" sourceCaption="date (Month)" count="6">
          <ranges>
            <range startItem="0">
              <i n="[index].[date (Month)].&amp;[Mar]" c="Mar"/>
              <i n="[index].[date (Month)].&amp;[Apr]" c="Apr"/>
              <i n="[index].[date (Month)].&amp;[May]" c="May"/>
              <i n="[index].[date (Month)].&amp;[Jun]" c="Jun"/>
              <i n="[index].[date (Month)].&amp;[Jul]" c="Jul"/>
              <i n="[index].[date (Month)].&amp;[Aug]" c="Aug"/>
            </range>
          </ranges>
        </level>
      </levels>
      <selections count="1">
        <selection n="[index].[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8296125-AFC2-48DD-BF53-B98ED46BA9AE}" cache="Slicer_date__Month" columnCount="2" level="1"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ACA0-0964-4B68-9635-FF5C10609D81}">
  <dimension ref="A1:R13"/>
  <sheetViews>
    <sheetView showGridLines="0" zoomScaleNormal="100" workbookViewId="0">
      <selection activeCell="O1" sqref="O1"/>
    </sheetView>
  </sheetViews>
  <sheetFormatPr defaultRowHeight="14.4" x14ac:dyDescent="0.3"/>
  <cols>
    <col min="1" max="1" width="11.21875" bestFit="1" customWidth="1"/>
    <col min="3" max="3" width="17.21875" bestFit="1" customWidth="1"/>
    <col min="4" max="4" width="6.6640625" bestFit="1" customWidth="1"/>
    <col min="6" max="6" width="12.44140625" bestFit="1" customWidth="1"/>
    <col min="7" max="7" width="6.6640625" bestFit="1" customWidth="1"/>
    <col min="9" max="9" width="12.44140625" bestFit="1" customWidth="1"/>
    <col min="10" max="10" width="6.6640625" bestFit="1" customWidth="1"/>
    <col min="12" max="12" width="12.44140625" bestFit="1" customWidth="1"/>
    <col min="13" max="13" width="6.6640625" bestFit="1" customWidth="1"/>
    <col min="15" max="15" width="12.44140625" bestFit="1" customWidth="1"/>
    <col min="16" max="16" width="6.6640625" bestFit="1" customWidth="1"/>
  </cols>
  <sheetData>
    <row r="1" spans="1:18" x14ac:dyDescent="0.3">
      <c r="A1" t="s">
        <v>3</v>
      </c>
      <c r="C1" t="s">
        <v>6</v>
      </c>
      <c r="F1" t="s">
        <v>17</v>
      </c>
      <c r="I1" t="s">
        <v>24</v>
      </c>
      <c r="L1" t="s">
        <v>32</v>
      </c>
      <c r="O1" t="s">
        <v>36</v>
      </c>
    </row>
    <row r="2" spans="1:18" x14ac:dyDescent="0.3">
      <c r="A2" t="s">
        <v>0</v>
      </c>
      <c r="C2" s="1" t="s">
        <v>7</v>
      </c>
      <c r="D2" t="s">
        <v>0</v>
      </c>
      <c r="F2" s="1" t="s">
        <v>7</v>
      </c>
      <c r="G2" t="s">
        <v>0</v>
      </c>
      <c r="I2" s="1" t="s">
        <v>7</v>
      </c>
      <c r="J2" t="s">
        <v>0</v>
      </c>
      <c r="L2" s="1" t="s">
        <v>7</v>
      </c>
      <c r="M2" t="s">
        <v>0</v>
      </c>
      <c r="O2" s="1" t="s">
        <v>7</v>
      </c>
      <c r="P2" t="s">
        <v>0</v>
      </c>
    </row>
    <row r="3" spans="1:18" x14ac:dyDescent="0.3">
      <c r="A3">
        <v>1313</v>
      </c>
      <c r="C3" s="2" t="s">
        <v>9</v>
      </c>
      <c r="D3">
        <v>319</v>
      </c>
      <c r="F3" s="2" t="s">
        <v>18</v>
      </c>
      <c r="G3">
        <v>206</v>
      </c>
      <c r="I3" s="2" t="s">
        <v>25</v>
      </c>
      <c r="J3">
        <v>181</v>
      </c>
      <c r="L3" s="2" t="s">
        <v>34</v>
      </c>
      <c r="M3">
        <v>383</v>
      </c>
      <c r="O3" s="2" t="s">
        <v>37</v>
      </c>
      <c r="P3">
        <v>1224</v>
      </c>
      <c r="R3" s="2"/>
    </row>
    <row r="4" spans="1:18" x14ac:dyDescent="0.3">
      <c r="C4" s="2" t="s">
        <v>15</v>
      </c>
      <c r="D4">
        <v>282</v>
      </c>
      <c r="F4" s="2" t="s">
        <v>19</v>
      </c>
      <c r="G4">
        <v>196</v>
      </c>
      <c r="I4" s="2" t="s">
        <v>26</v>
      </c>
      <c r="J4">
        <v>177</v>
      </c>
      <c r="L4" s="2" t="s">
        <v>33</v>
      </c>
      <c r="M4">
        <v>420</v>
      </c>
      <c r="O4" s="2" t="s">
        <v>38</v>
      </c>
      <c r="P4">
        <v>89</v>
      </c>
      <c r="R4" s="2"/>
    </row>
    <row r="5" spans="1:18" x14ac:dyDescent="0.3">
      <c r="C5" s="2" t="s">
        <v>10</v>
      </c>
      <c r="D5">
        <v>222</v>
      </c>
      <c r="F5" s="2" t="s">
        <v>20</v>
      </c>
      <c r="G5">
        <v>267</v>
      </c>
      <c r="I5" s="2" t="s">
        <v>27</v>
      </c>
      <c r="J5">
        <v>189</v>
      </c>
      <c r="L5" s="2" t="s">
        <v>35</v>
      </c>
      <c r="M5">
        <v>510</v>
      </c>
      <c r="O5" s="2" t="s">
        <v>16</v>
      </c>
      <c r="P5">
        <v>1313</v>
      </c>
      <c r="R5" s="2"/>
    </row>
    <row r="6" spans="1:18" x14ac:dyDescent="0.3">
      <c r="C6" s="2" t="s">
        <v>8</v>
      </c>
      <c r="D6">
        <v>185</v>
      </c>
      <c r="F6" s="2" t="s">
        <v>21</v>
      </c>
      <c r="G6">
        <v>227</v>
      </c>
      <c r="I6" s="2" t="s">
        <v>28</v>
      </c>
      <c r="J6">
        <v>172</v>
      </c>
      <c r="L6" s="2" t="s">
        <v>16</v>
      </c>
      <c r="M6">
        <v>1313</v>
      </c>
      <c r="R6" s="2"/>
    </row>
    <row r="7" spans="1:18" x14ac:dyDescent="0.3">
      <c r="A7" t="s">
        <v>4</v>
      </c>
      <c r="C7" s="2" t="s">
        <v>12</v>
      </c>
      <c r="D7">
        <v>123</v>
      </c>
      <c r="F7" s="2" t="s">
        <v>22</v>
      </c>
      <c r="G7">
        <v>237</v>
      </c>
      <c r="I7" s="2" t="s">
        <v>29</v>
      </c>
      <c r="J7">
        <v>200</v>
      </c>
      <c r="R7" s="2"/>
    </row>
    <row r="8" spans="1:18" x14ac:dyDescent="0.3">
      <c r="A8" t="s">
        <v>1</v>
      </c>
      <c r="C8" s="2" t="s">
        <v>14</v>
      </c>
      <c r="D8">
        <v>79</v>
      </c>
      <c r="F8" s="2" t="s">
        <v>23</v>
      </c>
      <c r="G8">
        <v>180</v>
      </c>
      <c r="I8" s="2" t="s">
        <v>30</v>
      </c>
      <c r="J8">
        <v>206</v>
      </c>
      <c r="R8" s="2"/>
    </row>
    <row r="9" spans="1:18" x14ac:dyDescent="0.3">
      <c r="A9" s="4">
        <v>42627.58</v>
      </c>
      <c r="C9" s="2" t="s">
        <v>13</v>
      </c>
      <c r="D9">
        <v>59</v>
      </c>
      <c r="F9" s="2" t="s">
        <v>16</v>
      </c>
      <c r="G9">
        <v>1313</v>
      </c>
      <c r="I9" s="2" t="s">
        <v>31</v>
      </c>
      <c r="J9">
        <v>188</v>
      </c>
      <c r="R9" s="2"/>
    </row>
    <row r="10" spans="1:18" x14ac:dyDescent="0.3">
      <c r="C10" s="2" t="s">
        <v>11</v>
      </c>
      <c r="D10">
        <v>44</v>
      </c>
      <c r="I10" s="2" t="s">
        <v>16</v>
      </c>
      <c r="J10">
        <v>1313</v>
      </c>
    </row>
    <row r="11" spans="1:18" x14ac:dyDescent="0.3">
      <c r="A11" t="s">
        <v>5</v>
      </c>
      <c r="C11" s="2" t="s">
        <v>16</v>
      </c>
      <c r="D11">
        <v>1313</v>
      </c>
    </row>
    <row r="12" spans="1:18" x14ac:dyDescent="0.3">
      <c r="A12" t="s">
        <v>2</v>
      </c>
    </row>
    <row r="13" spans="1:18" x14ac:dyDescent="0.3">
      <c r="A13">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03B7-6046-43A0-A6E1-0A8CF0005B39}">
  <dimension ref="A2:AD112"/>
  <sheetViews>
    <sheetView showGridLines="0" tabSelected="1" topLeftCell="A2" zoomScale="70" zoomScaleNormal="70" workbookViewId="0">
      <selection activeCell="AA12" sqref="AA12"/>
    </sheetView>
  </sheetViews>
  <sheetFormatPr defaultColWidth="0" defaultRowHeight="14.4" x14ac:dyDescent="0.3"/>
  <cols>
    <col min="1" max="1" width="3.6640625" customWidth="1"/>
    <col min="2" max="26" width="8.88671875" customWidth="1"/>
    <col min="27" max="27" width="15" customWidth="1"/>
    <col min="28" max="28" width="8.88671875" customWidth="1"/>
    <col min="29" max="30" width="0" hidden="1" customWidth="1"/>
    <col min="31" max="16384" width="8.88671875" hidden="1"/>
  </cols>
  <sheetData>
    <row r="2" spans="2:27" x14ac:dyDescent="0.3">
      <c r="B2" s="3"/>
      <c r="C2" s="3"/>
      <c r="D2" s="3"/>
      <c r="E2" s="3"/>
      <c r="F2" s="3"/>
      <c r="G2" s="3"/>
      <c r="H2" s="3"/>
      <c r="I2" s="3"/>
      <c r="J2" s="3"/>
      <c r="K2" s="3"/>
      <c r="L2" s="3"/>
      <c r="M2" s="3"/>
      <c r="N2" s="3"/>
      <c r="O2" s="3"/>
      <c r="P2" s="3"/>
      <c r="Q2" s="3"/>
      <c r="R2" s="3"/>
      <c r="S2" s="3"/>
      <c r="T2" s="3"/>
      <c r="U2" s="3"/>
      <c r="V2" s="3"/>
      <c r="W2" s="3"/>
      <c r="X2" s="3"/>
      <c r="Y2" s="3"/>
      <c r="Z2" s="3"/>
      <c r="AA2" s="3"/>
    </row>
    <row r="3" spans="2:27" x14ac:dyDescent="0.3">
      <c r="B3" s="3"/>
      <c r="C3" s="3"/>
      <c r="D3" s="3"/>
      <c r="E3" s="3"/>
      <c r="F3" s="3"/>
      <c r="G3" s="3"/>
      <c r="H3" s="3"/>
      <c r="I3" s="3"/>
      <c r="J3" s="3"/>
      <c r="K3" s="3"/>
      <c r="L3" s="3"/>
      <c r="M3" s="3"/>
      <c r="N3" s="3"/>
      <c r="O3" s="3"/>
      <c r="P3" s="3"/>
      <c r="Q3" s="3"/>
      <c r="R3" s="3"/>
      <c r="S3" s="3"/>
      <c r="T3" s="3"/>
      <c r="U3" s="3"/>
      <c r="V3" s="3"/>
      <c r="W3" s="3"/>
      <c r="X3" s="3"/>
      <c r="Y3" s="3"/>
      <c r="Z3" s="3"/>
      <c r="AA3" s="3"/>
    </row>
    <row r="4" spans="2:27" x14ac:dyDescent="0.3">
      <c r="B4" s="3"/>
      <c r="C4" s="3"/>
      <c r="D4" s="3"/>
      <c r="E4" s="3"/>
      <c r="F4" s="3"/>
      <c r="G4" s="3"/>
      <c r="H4" s="3"/>
      <c r="I4" s="3"/>
      <c r="J4" s="3"/>
      <c r="K4" s="3"/>
      <c r="L4" s="3"/>
      <c r="M4" s="3"/>
      <c r="N4" s="3"/>
      <c r="O4" s="3"/>
      <c r="P4" s="3"/>
      <c r="Q4" s="3"/>
      <c r="R4" s="3"/>
      <c r="S4" s="3"/>
      <c r="T4" s="3"/>
      <c r="U4" s="3"/>
      <c r="V4" s="3"/>
      <c r="W4" s="3"/>
      <c r="X4" s="3"/>
      <c r="Y4" s="3"/>
      <c r="Z4" s="3"/>
      <c r="AA4" s="3"/>
    </row>
    <row r="5" spans="2:27" x14ac:dyDescent="0.3">
      <c r="B5" s="3"/>
      <c r="C5" s="3"/>
      <c r="D5" s="3"/>
      <c r="E5" s="3"/>
      <c r="F5" s="3"/>
      <c r="G5" s="3"/>
      <c r="H5" s="3"/>
      <c r="I5" s="3"/>
      <c r="J5" s="3"/>
      <c r="K5" s="3"/>
      <c r="L5" s="3"/>
      <c r="M5" s="3"/>
      <c r="N5" s="3"/>
      <c r="O5" s="3"/>
      <c r="P5" s="3"/>
      <c r="Q5" s="3"/>
      <c r="R5" s="3"/>
      <c r="S5" s="3"/>
      <c r="T5" s="3"/>
      <c r="U5" s="3"/>
      <c r="V5" s="3"/>
      <c r="W5" s="3"/>
      <c r="X5" s="3"/>
      <c r="Y5" s="3"/>
      <c r="Z5" s="3"/>
      <c r="AA5" s="3"/>
    </row>
    <row r="6" spans="2:27" x14ac:dyDescent="0.3">
      <c r="B6" s="3"/>
      <c r="C6" s="3"/>
      <c r="D6" s="3"/>
      <c r="E6" s="3"/>
      <c r="F6" s="3"/>
      <c r="G6" s="3"/>
      <c r="H6" s="3"/>
      <c r="I6" s="3"/>
      <c r="J6" s="3"/>
      <c r="K6" s="3"/>
      <c r="L6" s="3"/>
      <c r="M6" s="3"/>
      <c r="N6" s="3"/>
      <c r="O6" s="3"/>
      <c r="P6" s="3"/>
      <c r="Q6" s="3"/>
      <c r="R6" s="3"/>
      <c r="S6" s="3"/>
      <c r="T6" s="3"/>
      <c r="U6" s="3"/>
      <c r="V6" s="3"/>
      <c r="W6" s="3"/>
      <c r="X6" s="3"/>
      <c r="Y6" s="3"/>
      <c r="Z6" s="3"/>
      <c r="AA6" s="3"/>
    </row>
    <row r="7" spans="2:27" x14ac:dyDescent="0.3">
      <c r="B7" s="3"/>
      <c r="C7" s="3"/>
      <c r="D7" s="3"/>
      <c r="E7" s="3"/>
      <c r="F7" s="3"/>
      <c r="G7" s="3"/>
      <c r="H7" s="3"/>
      <c r="I7" s="3"/>
      <c r="J7" s="3"/>
      <c r="K7" s="3"/>
      <c r="L7" s="3"/>
      <c r="M7" s="3"/>
      <c r="N7" s="3"/>
      <c r="O7" s="3"/>
      <c r="P7" s="3"/>
      <c r="Q7" s="3"/>
      <c r="R7" s="3"/>
      <c r="S7" s="3"/>
      <c r="T7" s="3"/>
      <c r="U7" s="3"/>
      <c r="V7" s="3"/>
      <c r="W7" s="3"/>
      <c r="X7" s="3"/>
      <c r="Y7" s="3"/>
      <c r="Z7" s="3"/>
      <c r="AA7" s="3"/>
    </row>
    <row r="8" spans="2:27" x14ac:dyDescent="0.3">
      <c r="B8" s="3"/>
      <c r="C8" s="3"/>
      <c r="D8" s="3"/>
      <c r="E8" s="3"/>
      <c r="F8" s="3"/>
      <c r="G8" s="3"/>
      <c r="H8" s="3"/>
      <c r="I8" s="3"/>
      <c r="J8" s="3"/>
      <c r="K8" s="3"/>
      <c r="L8" s="3"/>
      <c r="M8" s="3"/>
      <c r="N8" s="3"/>
      <c r="O8" s="3"/>
      <c r="P8" s="3"/>
      <c r="Q8" s="3"/>
      <c r="R8" s="3"/>
      <c r="S8" s="3"/>
      <c r="T8" s="3"/>
      <c r="U8" s="3"/>
      <c r="V8" s="3"/>
      <c r="W8" s="3"/>
      <c r="X8" s="3"/>
      <c r="Y8" s="3"/>
      <c r="Z8" s="3"/>
      <c r="AA8" s="3"/>
    </row>
    <row r="9" spans="2:27" x14ac:dyDescent="0.3">
      <c r="B9" s="3"/>
      <c r="C9" s="3"/>
      <c r="D9" s="3"/>
      <c r="E9" s="3"/>
      <c r="F9" s="3"/>
      <c r="G9" s="3"/>
      <c r="H9" s="3"/>
      <c r="I9" s="3"/>
      <c r="J9" s="3"/>
      <c r="K9" s="3"/>
      <c r="L9" s="3"/>
      <c r="M9" s="3"/>
      <c r="N9" s="3"/>
      <c r="O9" s="3"/>
      <c r="P9" s="3"/>
      <c r="Q9" s="3"/>
      <c r="R9" s="3"/>
      <c r="S9" s="3"/>
      <c r="T9" s="3"/>
      <c r="U9" s="3"/>
      <c r="V9" s="3"/>
      <c r="W9" s="3"/>
      <c r="X9" s="3"/>
      <c r="Y9" s="3"/>
      <c r="Z9" s="3"/>
      <c r="AA9" s="3"/>
    </row>
    <row r="10" spans="2:27" x14ac:dyDescent="0.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2:27" x14ac:dyDescent="0.3">
      <c r="B11" s="3"/>
      <c r="C11" s="3"/>
      <c r="D11" s="3"/>
      <c r="E11" s="3"/>
      <c r="F11" s="3"/>
      <c r="G11" s="3"/>
      <c r="H11" s="3"/>
      <c r="I11" s="3"/>
      <c r="J11" s="3"/>
      <c r="K11" s="3"/>
      <c r="L11" s="3"/>
      <c r="M11" s="3"/>
      <c r="N11" s="3"/>
      <c r="O11" s="3"/>
      <c r="P11" s="3"/>
      <c r="Q11" s="3"/>
      <c r="R11" s="3"/>
      <c r="S11" s="3"/>
      <c r="T11" s="3"/>
      <c r="U11" s="3"/>
      <c r="V11" s="3"/>
      <c r="W11" s="3"/>
      <c r="X11" s="3"/>
      <c r="Y11" s="3"/>
      <c r="Z11" s="3"/>
      <c r="AA11" s="3"/>
    </row>
    <row r="12" spans="2:27" x14ac:dyDescent="0.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2:27" x14ac:dyDescent="0.3">
      <c r="B13" s="3"/>
      <c r="C13" s="3"/>
      <c r="D13" s="3"/>
      <c r="E13" s="3"/>
      <c r="F13" s="3"/>
      <c r="G13" s="3"/>
      <c r="H13" s="3"/>
      <c r="I13" s="3"/>
      <c r="J13" s="3"/>
      <c r="K13" s="3"/>
      <c r="L13" s="3"/>
      <c r="M13" s="3"/>
      <c r="N13" s="3"/>
      <c r="O13" s="3"/>
      <c r="P13" s="3"/>
      <c r="Q13" s="3"/>
      <c r="R13" s="3"/>
      <c r="S13" s="3"/>
      <c r="T13" s="3"/>
      <c r="U13" s="3"/>
      <c r="V13" s="3"/>
      <c r="W13" s="3"/>
      <c r="X13" s="3"/>
      <c r="Y13" s="3"/>
      <c r="Z13" s="3"/>
      <c r="AA13" s="3"/>
    </row>
    <row r="14" spans="2:27" x14ac:dyDescent="0.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2:27" x14ac:dyDescent="0.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2:27" x14ac:dyDescent="0.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2:27" x14ac:dyDescent="0.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2:27" x14ac:dyDescent="0.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2:27" x14ac:dyDescent="0.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2:27" x14ac:dyDescent="0.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2:27" x14ac:dyDescent="0.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2:27" x14ac:dyDescent="0.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2:27" x14ac:dyDescent="0.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2:27" x14ac:dyDescent="0.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2:27" x14ac:dyDescent="0.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2:27" x14ac:dyDescent="0.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2:27" x14ac:dyDescent="0.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2:27" x14ac:dyDescent="0.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2:27" x14ac:dyDescent="0.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2:27" x14ac:dyDescent="0.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2:27" x14ac:dyDescent="0.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2:27" x14ac:dyDescent="0.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2:27" x14ac:dyDescent="0.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2:27" x14ac:dyDescent="0.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2:27" x14ac:dyDescent="0.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2:27" x14ac:dyDescent="0.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2:27" x14ac:dyDescent="0.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2:27" x14ac:dyDescent="0.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2:27" x14ac:dyDescent="0.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2:27" x14ac:dyDescent="0.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2:27" x14ac:dyDescent="0.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2:27" x14ac:dyDescent="0.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2:27" x14ac:dyDescent="0.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2:27" x14ac:dyDescent="0.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2:27" x14ac:dyDescent="0.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2:27" x14ac:dyDescent="0.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2:27" x14ac:dyDescent="0.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2:27" x14ac:dyDescent="0.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2:27" x14ac:dyDescent="0.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2:27" x14ac:dyDescent="0.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2:27" x14ac:dyDescent="0.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2:27" x14ac:dyDescent="0.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2:27" x14ac:dyDescent="0.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2:27" x14ac:dyDescent="0.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2:27" x14ac:dyDescent="0.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2:27" x14ac:dyDescent="0.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2:27" x14ac:dyDescent="0.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2:27" x14ac:dyDescent="0.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2:27" x14ac:dyDescent="0.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2:27" x14ac:dyDescent="0.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2:27" x14ac:dyDescent="0.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2:27" x14ac:dyDescent="0.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2:27" x14ac:dyDescent="0.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2:27" x14ac:dyDescent="0.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2:27" x14ac:dyDescent="0.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2:27" x14ac:dyDescent="0.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2:27" x14ac:dyDescent="0.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2:27" x14ac:dyDescent="0.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2:27" x14ac:dyDescent="0.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2:27" x14ac:dyDescent="0.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2:27" x14ac:dyDescent="0.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2:27" x14ac:dyDescent="0.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2:27" x14ac:dyDescent="0.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2:27" x14ac:dyDescent="0.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2:27" x14ac:dyDescent="0.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2:27" x14ac:dyDescent="0.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2:27" x14ac:dyDescent="0.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2:27" x14ac:dyDescent="0.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2:27" x14ac:dyDescent="0.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2:27" x14ac:dyDescent="0.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2:27" x14ac:dyDescent="0.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2:27" x14ac:dyDescent="0.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2:27" x14ac:dyDescent="0.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2:27" x14ac:dyDescent="0.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2:27" x14ac:dyDescent="0.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2:27" x14ac:dyDescent="0.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2:27" x14ac:dyDescent="0.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2:27" x14ac:dyDescent="0.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2:27" x14ac:dyDescent="0.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2:27" x14ac:dyDescent="0.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2:27" x14ac:dyDescent="0.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2:27" x14ac:dyDescent="0.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2:27" x14ac:dyDescent="0.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2:27" x14ac:dyDescent="0.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2:27" x14ac:dyDescent="0.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2:27" x14ac:dyDescent="0.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2:27" x14ac:dyDescent="0.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2:27" x14ac:dyDescent="0.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2:27" x14ac:dyDescent="0.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2:27" x14ac:dyDescent="0.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2:27" x14ac:dyDescent="0.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2:27" x14ac:dyDescent="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2:27" x14ac:dyDescent="0.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2:27" x14ac:dyDescent="0.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2:27" x14ac:dyDescent="0.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2:27" x14ac:dyDescent="0.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2:27" x14ac:dyDescent="0.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2:27" x14ac:dyDescent="0.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2:27" x14ac:dyDescent="0.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2:27" x14ac:dyDescent="0.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2:27" x14ac:dyDescent="0.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CCCEB4D-F026-488B-AEC6-273D1CAAF0E6}">
  <ds:schemaRefs/>
</ds:datastoreItem>
</file>

<file path=customXml/itemProps2.xml><?xml version="1.0" encoding="utf-8"?>
<ds:datastoreItem xmlns:ds="http://schemas.openxmlformats.org/officeDocument/2006/customXml" ds:itemID="{36E96CBC-E1F4-49D4-8E64-7241A411E97B}">
  <ds:schemaRefs/>
</ds:datastoreItem>
</file>

<file path=customXml/itemProps3.xml><?xml version="1.0" encoding="utf-8"?>
<ds:datastoreItem xmlns:ds="http://schemas.openxmlformats.org/officeDocument/2006/customXml" ds:itemID="{2D93D887-CEE6-4FE0-A4AF-B4DB6909F057}">
  <ds:schemaRefs/>
</ds:datastoreItem>
</file>

<file path=customXml/itemProps4.xml><?xml version="1.0" encoding="utf-8"?>
<ds:datastoreItem xmlns:ds="http://schemas.openxmlformats.org/officeDocument/2006/customXml" ds:itemID="{E16EE265-19E3-435C-A79C-E2211E2109F3}">
  <ds:schemaRefs/>
</ds:datastoreItem>
</file>

<file path=customXml/itemProps5.xml><?xml version="1.0" encoding="utf-8"?>
<ds:datastoreItem xmlns:ds="http://schemas.openxmlformats.org/officeDocument/2006/customXml" ds:itemID="{5676FA8F-8BA0-456E-8EC3-698F57AF1133}">
  <ds:schemaRefs/>
</ds:datastoreItem>
</file>

<file path=customXml/itemProps6.xml><?xml version="1.0" encoding="utf-8"?>
<ds:datastoreItem xmlns:ds="http://schemas.openxmlformats.org/officeDocument/2006/customXml" ds:itemID="{C6D3B5A1-815F-4DE1-A1C2-96B4943CD40C}">
  <ds:schemaRefs/>
</ds:datastoreItem>
</file>

<file path=customXml/itemProps7.xml><?xml version="1.0" encoding="utf-8"?>
<ds:datastoreItem xmlns:ds="http://schemas.openxmlformats.org/officeDocument/2006/customXml" ds:itemID="{247C898E-0B67-4F99-B4C0-4D1013266733}">
  <ds:schemaRefs/>
</ds:datastoreItem>
</file>

<file path=customXml/itemProps8.xml><?xml version="1.0" encoding="utf-8"?>
<ds:datastoreItem xmlns:ds="http://schemas.openxmlformats.org/officeDocument/2006/customXml" ds:itemID="{00FC7EF7-4AE9-458C-93AE-6296F6EB0086}">
  <ds:schemaRefs/>
</ds:datastoreItem>
</file>

<file path=customXml/itemProps9.xml><?xml version="1.0" encoding="utf-8"?>
<ds:datastoreItem xmlns:ds="http://schemas.openxmlformats.org/officeDocument/2006/customXml" ds:itemID="{18CB8FF8-0060-4BC5-85A1-F848203211E1}">
  <ds:schemaRefs/>
</ds:datastoreItem>
</file>

<file path=customXml/itemProps10.xml><?xml version="1.0" encoding="utf-8"?>
<ds:datastoreItem xmlns:ds="http://schemas.openxmlformats.org/officeDocument/2006/customXml" ds:itemID="{76A5214D-26CB-4879-A979-818579075B09}">
  <ds:schemaRefs/>
</ds:datastoreItem>
</file>

<file path=customXml/itemProps11.xml><?xml version="1.0" encoding="utf-8"?>
<ds:datastoreItem xmlns:ds="http://schemas.openxmlformats.org/officeDocument/2006/customXml" ds:itemID="{762D92F4-1629-44FB-9AF3-708490B0B58E}">
  <ds:schemaRefs>
    <ds:schemaRef ds:uri="http://schemas.microsoft.com/DataMashup"/>
  </ds:schemaRefs>
</ds:datastoreItem>
</file>

<file path=customXml/itemProps12.xml><?xml version="1.0" encoding="utf-8"?>
<ds:datastoreItem xmlns:ds="http://schemas.openxmlformats.org/officeDocument/2006/customXml" ds:itemID="{FFFF9DCD-48F1-4078-8970-393D6B582455}">
  <ds:schemaRefs/>
</ds:datastoreItem>
</file>

<file path=customXml/itemProps13.xml><?xml version="1.0" encoding="utf-8"?>
<ds:datastoreItem xmlns:ds="http://schemas.openxmlformats.org/officeDocument/2006/customXml" ds:itemID="{63BFDB6C-7635-4684-B760-BC095D0C2776}">
  <ds:schemaRefs/>
</ds:datastoreItem>
</file>

<file path=customXml/itemProps14.xml><?xml version="1.0" encoding="utf-8"?>
<ds:datastoreItem xmlns:ds="http://schemas.openxmlformats.org/officeDocument/2006/customXml" ds:itemID="{F7AEF8DE-2B49-41DA-B6AA-409548820282}">
  <ds:schemaRefs/>
</ds:datastoreItem>
</file>

<file path=customXml/itemProps15.xml><?xml version="1.0" encoding="utf-8"?>
<ds:datastoreItem xmlns:ds="http://schemas.openxmlformats.org/officeDocument/2006/customXml" ds:itemID="{14018B4B-F839-43F9-AE02-C87B746730BA}">
  <ds:schemaRefs/>
</ds:datastoreItem>
</file>

<file path=customXml/itemProps16.xml><?xml version="1.0" encoding="utf-8"?>
<ds:datastoreItem xmlns:ds="http://schemas.openxmlformats.org/officeDocument/2006/customXml" ds:itemID="{1FE0E089-EB90-46DA-8120-756C59893ED0}">
  <ds:schemaRefs/>
</ds:datastoreItem>
</file>

<file path=customXml/itemProps17.xml><?xml version="1.0" encoding="utf-8"?>
<ds:datastoreItem xmlns:ds="http://schemas.openxmlformats.org/officeDocument/2006/customXml" ds:itemID="{2796A340-10B5-4D91-9E19-3C223891E514}">
  <ds:schemaRefs/>
</ds:datastoreItem>
</file>

<file path=customXml/itemProps18.xml><?xml version="1.0" encoding="utf-8"?>
<ds:datastoreItem xmlns:ds="http://schemas.openxmlformats.org/officeDocument/2006/customXml" ds:itemID="{BEBDE991-F1F2-4CEE-BCDD-B31ABE14F3B4}">
  <ds:schemaRefs/>
</ds:datastoreItem>
</file>

<file path=customXml/itemProps19.xml><?xml version="1.0" encoding="utf-8"?>
<ds:datastoreItem xmlns:ds="http://schemas.openxmlformats.org/officeDocument/2006/customXml" ds:itemID="{69D178F1-CF91-4FA0-8375-67265C97FFB5}">
  <ds:schemaRefs/>
</ds:datastoreItem>
</file>

<file path=customXml/itemProps20.xml><?xml version="1.0" encoding="utf-8"?>
<ds:datastoreItem xmlns:ds="http://schemas.openxmlformats.org/officeDocument/2006/customXml" ds:itemID="{D6CAB372-5E7E-4DA2-A34A-61D31A465A3A}">
  <ds:schemaRefs/>
</ds:datastoreItem>
</file>

<file path=customXml/itemProps21.xml><?xml version="1.0" encoding="utf-8"?>
<ds:datastoreItem xmlns:ds="http://schemas.openxmlformats.org/officeDocument/2006/customXml" ds:itemID="{D4E676C1-1BEE-4CFE-B58F-AFD080298D30}">
  <ds:schemaRefs/>
</ds:datastoreItem>
</file>

<file path=customXml/itemProps22.xml><?xml version="1.0" encoding="utf-8"?>
<ds:datastoreItem xmlns:ds="http://schemas.openxmlformats.org/officeDocument/2006/customXml" ds:itemID="{EAABDE28-F7B1-4609-B11D-38BC9F72916C}">
  <ds:schemaRefs/>
</ds:datastoreItem>
</file>

<file path=customXml/itemProps23.xml><?xml version="1.0" encoding="utf-8"?>
<ds:datastoreItem xmlns:ds="http://schemas.openxmlformats.org/officeDocument/2006/customXml" ds:itemID="{5E8ACEA5-7D9C-4371-A192-B180EC509647}">
  <ds:schemaRefs/>
</ds:datastoreItem>
</file>

<file path=customXml/itemProps24.xml><?xml version="1.0" encoding="utf-8"?>
<ds:datastoreItem xmlns:ds="http://schemas.openxmlformats.org/officeDocument/2006/customXml" ds:itemID="{3652DC7B-DFD2-4786-BE0C-795F3C7D3C6E}">
  <ds:schemaRefs/>
</ds:datastoreItem>
</file>

<file path=customXml/itemProps25.xml><?xml version="1.0" encoding="utf-8"?>
<ds:datastoreItem xmlns:ds="http://schemas.openxmlformats.org/officeDocument/2006/customXml" ds:itemID="{0974CBCB-01C3-4621-9B2B-C6982635068F}">
  <ds:schemaRefs/>
</ds:datastoreItem>
</file>

<file path=customXml/itemProps26.xml><?xml version="1.0" encoding="utf-8"?>
<ds:datastoreItem xmlns:ds="http://schemas.openxmlformats.org/officeDocument/2006/customXml" ds:itemID="{C4CBDC40-79D4-4355-A6C6-C320A362859D}">
  <ds:schemaRefs/>
</ds:datastoreItem>
</file>

<file path=customXml/itemProps27.xml><?xml version="1.0" encoding="utf-8"?>
<ds:datastoreItem xmlns:ds="http://schemas.openxmlformats.org/officeDocument/2006/customXml" ds:itemID="{488CAE7E-EEEE-4A42-99E3-6DC4DF0CE8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essam5ali2000@outlook.com</dc:creator>
  <cp:lastModifiedBy>essam5ali2000@outlook.com</cp:lastModifiedBy>
  <dcterms:created xsi:type="dcterms:W3CDTF">2025-11-02T18:26:40Z</dcterms:created>
  <dcterms:modified xsi:type="dcterms:W3CDTF">2025-11-06T10:25:24Z</dcterms:modified>
</cp:coreProperties>
</file>